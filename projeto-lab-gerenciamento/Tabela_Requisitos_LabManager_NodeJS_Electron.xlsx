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63057199-9A28-419C-824C-8144E20A739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mo Executivo" sheetId="1" r:id="rId1"/>
    <sheet name="Requisitos" sheetId="2" r:id="rId2"/>
    <sheet name="Mapeamento Fenda (Node.js)" sheetId="3" r:id="rId3"/>
    <sheet name="Estrutura do Banco (SQLite)" sheetId="4" r:id="rId4"/>
  </sheets>
  <definedNames>
    <definedName name="_xlnm._FilterDatabase" localSheetId="1" hidden="1">Requisitos!$B$5:$I$20</definedName>
    <definedName name="_xlnm._FilterDatabase" localSheetId="2" hidden="1">'Mapeamento Fenda (Node.js)'!$B$5:$E$14</definedName>
    <definedName name="_xlnm._FilterDatabase" localSheetId="3" hidden="1">'Estrutura do Banco (SQLite)'!$B$5:$F$36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C23" i="1"/>
  <c r="E23" i="1" s="1"/>
  <c r="D22" i="1"/>
  <c r="C22" i="1"/>
  <c r="E22" i="1" s="1"/>
  <c r="D21" i="1"/>
  <c r="C21" i="1"/>
  <c r="E21" i="1" s="1"/>
  <c r="D20" i="1"/>
  <c r="C20" i="1"/>
  <c r="E20" i="1" s="1"/>
  <c r="D19" i="1"/>
  <c r="C19" i="1"/>
  <c r="E19" i="1" s="1"/>
  <c r="D18" i="1"/>
  <c r="C18" i="1"/>
  <c r="E18" i="1" s="1"/>
  <c r="D17" i="1"/>
  <c r="C17" i="1"/>
  <c r="E17" i="1" s="1"/>
  <c r="D16" i="1"/>
  <c r="D24" i="1" s="1"/>
  <c r="C16" i="1"/>
  <c r="G11" i="1"/>
  <c r="D11" i="1"/>
  <c r="B11" i="1"/>
  <c r="C24" i="1" l="1"/>
  <c r="E16" i="1"/>
  <c r="E24" i="1" s="1"/>
</calcChain>
</file>

<file path=xl/sharedStrings.xml><?xml version="1.0" encoding="utf-8"?>
<sst xmlns="http://schemas.openxmlformats.org/spreadsheetml/2006/main" count="354" uniqueCount="221">
  <si>
    <t>LabManager - Gestão de Laboratórios (Node.js + Electron + SQLite)</t>
  </si>
  <si>
    <t>Visão Geral de Requisitos e Arquitetura Desktop / Local (Base: Fenda ➔ Node.js/TypeScript)</t>
  </si>
  <si>
    <t xml:space="preserve">Alunos : Guilherme Mainardi Bessa, Igor Fernando Silva Lemes, Leonardo Florindo Alves Rodrigues e Kássio Adriano Fernandes Da Silva, Wagner Silva Berigo Junior .
</t>
  </si>
  <si>
    <t>TOTAL DE REQUISITOS</t>
  </si>
  <si>
    <t>REQUISITOS FUNCIONAIS (RF)</t>
  </si>
  <si>
    <t>REQ. NÃO FUNCIONAIS (RNF)</t>
  </si>
  <si>
    <t>Resumo por Categoria de Requisito</t>
  </si>
  <si>
    <t>Categoria / Módulo</t>
  </si>
  <si>
    <t>Qtd RF</t>
  </si>
  <si>
    <t>Qtd RNF</t>
  </si>
  <si>
    <t>Total</t>
  </si>
  <si>
    <t>Gestão &amp; Acesso</t>
  </si>
  <si>
    <t>Reservas &amp; Agendamento</t>
  </si>
  <si>
    <t>Almoxarifado &amp; Estoque</t>
  </si>
  <si>
    <t>Manutenção &amp; Equipamentos</t>
  </si>
  <si>
    <t>Relatórios &amp; Notificações</t>
  </si>
  <si>
    <t>Segurança &amp; Desempenho</t>
  </si>
  <si>
    <t>Usabilidade &amp; Arquitetura</t>
  </si>
  <si>
    <t>Distribuição &amp; Empacotamento</t>
  </si>
  <si>
    <t>Total Geral</t>
  </si>
  <si>
    <t>Tabela de Requisitos do Sistema - LabManager (Node.js + Electron + SQLite)</t>
  </si>
  <si>
    <t>Especificação dos Requisitos Funcionais (RF) e Não Funcionais (RNF) para aplicação Desktop</t>
  </si>
  <si>
    <t>Código</t>
  </si>
  <si>
    <t>Tipo</t>
  </si>
  <si>
    <t>Requisito</t>
  </si>
  <si>
    <t>Descrição Detalhada</t>
  </si>
  <si>
    <t>Prioridade</t>
  </si>
  <si>
    <t>Origem / Reuso</t>
  </si>
  <si>
    <t>Status Estimado</t>
  </si>
  <si>
    <t>RF01</t>
  </si>
  <si>
    <t>Funcional</t>
  </si>
  <si>
    <t>Gestão de Usuários</t>
  </si>
  <si>
    <t>Cadastro, login e perfis (professor, aluno, gestor) com autenticação local (SQLite). Suporte a múltiplos usuários na mesma máquina.</t>
  </si>
  <si>
    <t>Alta</t>
  </si>
  <si>
    <t>Reescrito da Fenda</t>
  </si>
  <si>
    <t>Em Planejamento</t>
  </si>
  <si>
    <t>RF02</t>
  </si>
  <si>
    <t>Cadastro de Laboratórios</t>
  </si>
  <si>
    <t>Manter 3 laboratórios (1 com 40 lugares, 2 com 32). Status (ativo/manutenção). Dados persistidos no SQLite.</t>
  </si>
  <si>
    <t>Adaptado da Fenda</t>
  </si>
  <si>
    <t>RF03</t>
  </si>
  <si>
    <t>Agendamento de Reservas</t>
  </si>
  <si>
    <t>Usuários solicitam reserva (data/hora/laboratório). Verificação de conflito (atomicidade) via transações SQLite. Status: pendente, aprovada, rejeitada, cancelada.</t>
  </si>
  <si>
    <t>Crítica</t>
  </si>
  <si>
    <t>RF04</t>
  </si>
  <si>
    <t>Aprovação de Reservas</t>
  </si>
  <si>
    <t>Gestor (admin) aprova/rejeita solicitações via interface. Notificações em tempo real (IPC ou WebSocket local).</t>
  </si>
  <si>
    <t>RF05</t>
  </si>
  <si>
    <t>Gestão de Almoxarifado</t>
  </si>
  <si>
    <t>Controle de insumos (quantidade, unidade, estoque mínimo) no SQLite. Alertas automáticos quando abaixo do mínimo (via interface).</t>
  </si>
  <si>
    <t>Média</t>
  </si>
  <si>
    <t>Novo Módulo</t>
  </si>
  <si>
    <t>Pendente</t>
  </si>
  <si>
    <t>RF06</t>
  </si>
  <si>
    <t>Gestão de Equipamentos</t>
  </si>
  <si>
    <t>Cadastro de equipamentos por laboratório com status (operacional, em manutenção, sucata).</t>
  </si>
  <si>
    <t>RF07</t>
  </si>
  <si>
    <t>Manutenção Preventiva</t>
  </si>
  <si>
    <t>Agendamento de manutenções com data prevista/realizada. Relatório de equipamentos com manutenção vencida.</t>
  </si>
  <si>
    <t>RF08</t>
  </si>
  <si>
    <t>Relatórios Gerenciais</t>
  </si>
  <si>
    <t>Geração de relatórios (PDF/Excel) semanais/mensais com ocupação, manutenções atrasadas e sugestão de compras.</t>
  </si>
  <si>
    <t>RF09</t>
  </si>
  <si>
    <t>Notificações em Tempo Real</t>
  </si>
  <si>
    <t>Sistema de notificações nativas do Electron (tray, badge) e pop-ups para novas solicitações e aprovações.</t>
  </si>
  <si>
    <t>Adaptado (Electron API)</t>
  </si>
  <si>
    <t>RNF01</t>
  </si>
  <si>
    <t>Não Funcional</t>
  </si>
  <si>
    <t>Segurança</t>
  </si>
  <si>
    <t>Uso de prepared statements (via Prisma/TypeORM/better-sqlite3), validação de entrada, hash de senhas (bcrypt), proteção contra XSS e CSRF (se aplicável). Sessão gerenciada via JWT ou cookie seguro.</t>
  </si>
  <si>
    <t>Adaptado para Node.js</t>
  </si>
  <si>
    <t>Especificado</t>
  </si>
  <si>
    <t>RNF02</t>
  </si>
  <si>
    <t>Usabilidade</t>
  </si>
  <si>
    <t>Interface moderna (HTML/CSS/JS ou React) com design responsivo, temas, animações suaves e feedback visual.</t>
  </si>
  <si>
    <t>Adaptado para Desktop</t>
  </si>
  <si>
    <t>RNF03</t>
  </si>
  <si>
    <t>Atomicidade</t>
  </si>
  <si>
    <t>Transações no SQLite para garantir consistência nas reservas (BEGIN/COMMIT) e evitar duplicidade.</t>
  </si>
  <si>
    <t>Regra BD (SQLite)</t>
  </si>
  <si>
    <t>RNF04</t>
  </si>
  <si>
    <t>Tecnologia</t>
  </si>
  <si>
    <t>Backend: Node.js + TypeScript + Express (API REST). Frontend: Electron (HTML/CSS/JS ou React). Banco: SQLite (via Prisma ou better-sqlite3).</t>
  </si>
  <si>
    <t>Nova Stack (Desktop)</t>
  </si>
  <si>
    <t>Definido</t>
  </si>
  <si>
    <t>RNF05</t>
  </si>
  <si>
    <t>Desempenho</t>
  </si>
  <si>
    <t>Carregamento rápido (dados locais), cache em memória, operações assíncronas para não travar a interface.</t>
  </si>
  <si>
    <t>Arquitetura Local</t>
  </si>
  <si>
    <t>RNF06</t>
  </si>
  <si>
    <t>Distribuição Executável</t>
  </si>
  <si>
    <t>Empacotamento como executável (.exe, .dmg, .AppImage) para Windows, macOS e Linux via electron-builder.</t>
  </si>
  <si>
    <t>Build Electron</t>
  </si>
  <si>
    <t>Mapeamento de Entidades e Módulos (Fenda PHP ➔ LabManager Node.js / Electron)</t>
  </si>
  <si>
    <t>Migração de conceitos do backend PHP para a stack Node.js + TypeScript + Electron + SQLite</t>
  </si>
  <si>
    <t>Elemento Original (Fenda PHP)</t>
  </si>
  <si>
    <t>Equivalente no LabManager (Node.js)</t>
  </si>
  <si>
    <t>Tecnologia / Middleware</t>
  </si>
  <si>
    <t>Estratégia de Adaptação / Transição</t>
  </si>
  <si>
    <t>usuarios (MySQL)</t>
  </si>
  <si>
    <t>usuarios (SQLite)</t>
  </si>
  <si>
    <t>Prisma ORM / better-sqlite3</t>
  </si>
  <si>
    <t>Reescrever model em Schema Prisma. Hash de senha com bcryptjs.</t>
  </si>
  <si>
    <t>comunidades</t>
  </si>
  <si>
    <t>laboratorios</t>
  </si>
  <si>
    <t>Express REST Controller / Route</t>
  </si>
  <si>
    <t>Adicionar campos 'capacidade' (CHECK 40,32) e 'status' (ativo/manutenção).</t>
  </si>
  <si>
    <t>comunidade_membros</t>
  </si>
  <si>
    <t>laboratorio_permissoes</t>
  </si>
  <si>
    <t>Express Middleware (auth/roles)</t>
  </si>
  <si>
    <t>Controlar papéis: 'admin', 'professor', 'aluno' por laboratório.</t>
  </si>
  <si>
    <t>mensagens (posts)</t>
  </si>
  <si>
    <t>reservas</t>
  </si>
  <si>
    <t>Prisma Transactions (db.$transaction)</t>
  </si>
  <si>
    <t>Garantir atomicidade na solicitação/aprovação e evitar choque de horário.</t>
  </si>
  <si>
    <t>eventos</t>
  </si>
  <si>
    <t>manutencoes</t>
  </si>
  <si>
    <t>Service Layer / Repository</t>
  </si>
  <si>
    <t>Gerenciar datas previstas e realizadas para manutenção preventiva de equipamentos.</t>
  </si>
  <si>
    <t>notificacoes (polling/PHP)</t>
  </si>
  <si>
    <t>notificacoes (Nativas)</t>
  </si>
  <si>
    <t>Electron API (Notification, Tray, Badge)</t>
  </si>
  <si>
    <t>Substituir polling web por notificações nativas do sistema operacional via Electron.</t>
  </si>
  <si>
    <t>upload_engine (PHP)</t>
  </si>
  <si>
    <t>Upload Controller</t>
  </si>
  <si>
    <t>Multer + file-type (Node.js)</t>
  </si>
  <si>
    <t>Validar MIME types e extensão; salvar no sistema de arquivos local (`fs`).</t>
  </si>
  <si>
    <t>B2Client (S3 Cloud)</t>
  </si>
  <si>
    <t>Armazenamento Local (`fs`)</t>
  </si>
  <si>
    <t>Node.js File System (`fs/promises`)</t>
  </si>
  <si>
    <t>Substituir nuvem por pastas locais do aplicativo no Desktop.</t>
  </si>
  <si>
    <t>Sessão PHP ($_SESSION)</t>
  </si>
  <si>
    <t>Autenticação Local / JWT</t>
  </si>
  <si>
    <t>jsonwebtoken / Cookie Seguro / IPC Memory</t>
  </si>
  <si>
    <t>Gerenciar estado do usuário no processo principal do Electron ou via JWT HTTP local.</t>
  </si>
  <si>
    <t>Modelagem de Dados - Tabelas do SQLite (LabManager Desktop)</t>
  </si>
  <si>
    <t>Esquema de banco de dados relacional leve e local para SQLite / Prisma</t>
  </si>
  <si>
    <t>Tabela SQLite</t>
  </si>
  <si>
    <t>Coluna / Atributo</t>
  </si>
  <si>
    <t>Tipo de Dado &amp; Constraints SQLite</t>
  </si>
  <si>
    <t>Descrição / Função</t>
  </si>
  <si>
    <t>Chave / Índice</t>
  </si>
  <si>
    <t>usuarios</t>
  </si>
  <si>
    <t>id</t>
  </si>
  <si>
    <t>INTEGER PRIMARY KEY AUTOINCREMENT</t>
  </si>
  <si>
    <t>Identificador único do usuário</t>
  </si>
  <si>
    <t>PRIMARY KEY</t>
  </si>
  <si>
    <t>nome</t>
  </si>
  <si>
    <t>TEXT NOT NULL</t>
  </si>
  <si>
    <t>Nome completo</t>
  </si>
  <si>
    <t>-</t>
  </si>
  <si>
    <t>username</t>
  </si>
  <si>
    <t>TEXT UNIQUE NOT NULL</t>
  </si>
  <si>
    <t>Nome de usuário para login</t>
  </si>
  <si>
    <t>UNIQUE INDEX</t>
  </si>
  <si>
    <t>email</t>
  </si>
  <si>
    <t>E-mail de cadastro</t>
  </si>
  <si>
    <t>senha</t>
  </si>
  <si>
    <t>Hash bcrypt da senha</t>
  </si>
  <si>
    <t>ativo</t>
  </si>
  <si>
    <t>BOOLEAN DEFAULT 1</t>
  </si>
  <si>
    <t>Status do usuário no sistema</t>
  </si>
  <si>
    <t>ID do laboratório</t>
  </si>
  <si>
    <t>Nome do laboratório (ex: Lab 01)</t>
  </si>
  <si>
    <t>capacidade</t>
  </si>
  <si>
    <t>INTEGER CHECK (capacidade IN (40, 32))</t>
  </si>
  <si>
    <t>Lotação máxima (1 de 40, 2 de 32)</t>
  </si>
  <si>
    <t>CHECK constraint</t>
  </si>
  <si>
    <t>status</t>
  </si>
  <si>
    <t>TEXT DEFAULT 'ativo' CHECK (status IN ('ativo', 'manutencao'))</t>
  </si>
  <si>
    <t>Situação atual do laboratório</t>
  </si>
  <si>
    <t>laboratorio_id</t>
  </si>
  <si>
    <t>INTEGER</t>
  </si>
  <si>
    <t>FK -&gt; laboratorios(id)</t>
  </si>
  <si>
    <t>usuario_id</t>
  </si>
  <si>
    <t>ID do usuário</t>
  </si>
  <si>
    <t>FK -&gt; usuarios(id)</t>
  </si>
  <si>
    <t>papel</t>
  </si>
  <si>
    <t>TEXT DEFAULT 'aluno' CHECK (papel IN ('admin', 'professor', 'aluno'))</t>
  </si>
  <si>
    <t>Nível de permissão no lab</t>
  </si>
  <si>
    <t>PRIMARY KEY (lab_id, user_id)</t>
  </si>
  <si>
    <t>ID do agendamento</t>
  </si>
  <si>
    <t>INTEGER NOT NULL</t>
  </si>
  <si>
    <t>Laboratório reservado</t>
  </si>
  <si>
    <t>Solicitante da reserva</t>
  </si>
  <si>
    <t>data_hora_inicio</t>
  </si>
  <si>
    <t>DATETIME NOT NULL</t>
  </si>
  <si>
    <t>Data e hora de início</t>
  </si>
  <si>
    <t>idx_reserva_conflito</t>
  </si>
  <si>
    <t>data_hora_fim</t>
  </si>
  <si>
    <t>Data e hora de término</t>
  </si>
  <si>
    <t>TEXT DEFAULT 'pendente' CHECK (status IN ('pendente','aprovada','rejeitada','cancelada'))</t>
  </si>
  <si>
    <t>Situação do pedido</t>
  </si>
  <si>
    <t>equipamentos</t>
  </si>
  <si>
    <t>ID do equipamento</t>
  </si>
  <si>
    <t>Laboratório pertencente</t>
  </si>
  <si>
    <t>TEXT DEFAULT 'operacional' CHECK (status IN ('operacional','em_manutencao','sucata'))</t>
  </si>
  <si>
    <t>Estado físico do item</t>
  </si>
  <si>
    <t>insumos</t>
  </si>
  <si>
    <t>ID do insumo</t>
  </si>
  <si>
    <t>quantidade</t>
  </si>
  <si>
    <t>INTEGER DEFAULT 0</t>
  </si>
  <si>
    <t>Estoque atual em unidades</t>
  </si>
  <si>
    <t>estoque_minimo</t>
  </si>
  <si>
    <t>Nível mínimo para disparo de alerta</t>
  </si>
  <si>
    <t>manutencoes_preventivas</t>
  </si>
  <si>
    <t>ID da manutenção</t>
  </si>
  <si>
    <t>equipamento_id</t>
  </si>
  <si>
    <t>Equipamento associado</t>
  </si>
  <si>
    <t>FK -&gt; equipamentos(id)</t>
  </si>
  <si>
    <t>data_prevista</t>
  </si>
  <si>
    <t>DATE NOT NULL</t>
  </si>
  <si>
    <t>Data agendada para revisão</t>
  </si>
  <si>
    <t>notificacoes</t>
  </si>
  <si>
    <t>ID da notificação</t>
  </si>
  <si>
    <t>tipo</t>
  </si>
  <si>
    <t>TEXT CHECK (tipo IN ('reserva','manutencao','estoque','sistema'))</t>
  </si>
  <si>
    <t>Tipo do aviso</t>
  </si>
  <si>
    <t>lida</t>
  </si>
  <si>
    <t>BOOLEAN DEFAULT 0</t>
  </si>
  <si>
    <t>Flag de leitura (0/1)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</si>
</sst>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6"/>
      <color rgb="FF0F172A"/>
      <name val="Segoe UI"/>
    </font>
    <font>
      <i/>
      <sz val="11"/>
      <color rgb="FF475569"/>
      <name val="Segoe UI"/>
    </font>
    <font>
      <b/>
      <sz val="20"/>
      <color rgb="FF3B82F6"/>
      <name val="Segoe UI"/>
    </font>
    <font>
      <i/>
      <sz val="14"/>
      <color rgb="FF475569"/>
      <name val="Segoe UI"/>
    </font>
    <font>
      <b/>
      <sz val="14"/>
      <color rgb="FF1E293B"/>
      <name val="Segoe UI"/>
    </font>
    <font>
      <b/>
      <sz val="18"/>
      <color rgb="FF0F172A"/>
      <name val="Segoe UI"/>
    </font>
    <font>
      <b/>
      <sz val="12"/>
      <color rgb="FFFFFFFF"/>
      <name val="Segoe UI"/>
    </font>
    <font>
      <b/>
      <sz val="11"/>
      <color rgb="FF0F172A"/>
      <name val="Segoe UI"/>
    </font>
    <font>
      <sz val="11"/>
      <color rgb="FF0F172A"/>
      <name val="Segoe UI"/>
    </font>
    <font>
      <b/>
      <sz val="11"/>
      <color rgb="FF166534"/>
      <name val="Segoe UI"/>
    </font>
    <font>
      <b/>
      <sz val="11"/>
      <color rgb="FF3730A3"/>
      <name val="Segoe UI"/>
    </font>
    <font>
      <sz val="14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sz val="12"/>
      <color rgb="FF0F172A"/>
      <name val="Segoe UI"/>
    </font>
    <font>
      <b/>
      <sz val="12"/>
      <color rgb="FF0F172A"/>
      <name val="Segoe UI"/>
    </font>
    <font>
      <b/>
      <sz val="11"/>
      <color rgb="FF64748B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0F172A"/>
        <bgColor rgb="FF0F172A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  <fill>
      <patternFill patternType="solid">
        <fgColor rgb="FF3730A3"/>
        <bgColor rgb="FF3730A3"/>
      </patternFill>
    </fill>
    <fill>
      <patternFill patternType="solid">
        <fgColor rgb="FF0891B2"/>
        <bgColor rgb="FF0891B2"/>
      </patternFill>
    </fill>
  </fills>
  <borders count="2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E2E8F0"/>
      </bottom>
      <diagonal/>
    </border>
    <border>
      <left/>
      <right/>
      <top style="thin">
        <color rgb="FF000000"/>
      </top>
      <bottom style="thin">
        <color rgb="FFE2E8F0"/>
      </bottom>
      <diagonal/>
    </border>
    <border>
      <left/>
      <right style="thin">
        <color rgb="FF000000"/>
      </right>
      <top style="thin">
        <color rgb="FF000000"/>
      </top>
      <bottom style="thin">
        <color rgb="FFE2E8F0"/>
      </bottom>
      <diagonal/>
    </border>
    <border>
      <left style="thin">
        <color rgb="FF000000"/>
      </left>
      <right/>
      <top style="thin">
        <color rgb="FFE2E8F0"/>
      </top>
      <bottom style="thin">
        <color rgb="FF000000"/>
      </bottom>
      <diagonal/>
    </border>
    <border>
      <left/>
      <right/>
      <top style="thin">
        <color rgb="FFE2E8F0"/>
      </top>
      <bottom style="thin">
        <color rgb="FF000000"/>
      </bottom>
      <diagonal/>
    </border>
    <border>
      <left/>
      <right style="thin">
        <color rgb="FF000000"/>
      </right>
      <top style="thin">
        <color rgb="FFE2E8F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000000"/>
      </right>
      <top style="thin">
        <color rgb="FFE2E8F0"/>
      </top>
      <bottom style="thin">
        <color rgb="FFE2E8F0"/>
      </bottom>
      <diagonal/>
    </border>
    <border>
      <left style="thin">
        <color rgb="FF00000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000000"/>
      </right>
      <top style="thin">
        <color rgb="FFE2E8F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7" fillId="9" borderId="24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7" fillId="8" borderId="24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vertical="center" wrapText="1"/>
    </xf>
    <xf numFmtId="0" fontId="9" fillId="4" borderId="24" xfId="0" applyFont="1" applyFill="1" applyBorder="1" applyAlignment="1">
      <alignment vertical="center" wrapText="1"/>
    </xf>
    <xf numFmtId="0" fontId="11" fillId="7" borderId="24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0" fontId="4" fillId="0" borderId="0" xfId="0" applyFont="1" applyAlignment="1">
      <alignment horizontal="center"/>
    </xf>
    <xf numFmtId="1" fontId="3" fillId="2" borderId="5" xfId="0" applyNumberFormat="1" applyFon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horizontal="center" vertical="center"/>
    </xf>
    <xf numFmtId="1" fontId="3" fillId="2" borderId="11" xfId="0" applyNumberFormat="1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/>
    </xf>
    <xf numFmtId="1" fontId="3" fillId="2" borderId="13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0" xfId="0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7" fillId="3" borderId="2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15" fillId="4" borderId="17" xfId="0" applyFont="1" applyFill="1" applyBorder="1"/>
    <xf numFmtId="0" fontId="15" fillId="4" borderId="1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5" fillId="5" borderId="17" xfId="0" applyFont="1" applyFill="1" applyBorder="1"/>
    <xf numFmtId="0" fontId="15" fillId="5" borderId="1" xfId="0" applyFont="1" applyFill="1" applyBorder="1" applyAlignment="1">
      <alignment horizontal="center"/>
    </xf>
    <xf numFmtId="0" fontId="16" fillId="5" borderId="18" xfId="0" applyFont="1" applyFill="1" applyBorder="1" applyAlignment="1">
      <alignment horizontal="center"/>
    </xf>
    <xf numFmtId="0" fontId="15" fillId="5" borderId="19" xfId="0" applyFont="1" applyFill="1" applyBorder="1"/>
    <xf numFmtId="0" fontId="15" fillId="5" borderId="20" xfId="0" applyFont="1" applyFill="1" applyBorder="1" applyAlignment="1">
      <alignment horizontal="center"/>
    </xf>
    <xf numFmtId="0" fontId="16" fillId="5" borderId="21" xfId="0" applyFont="1" applyFill="1" applyBorder="1" applyAlignment="1">
      <alignment horizontal="center"/>
    </xf>
    <xf numFmtId="0" fontId="16" fillId="0" borderId="14" xfId="0" applyFont="1" applyBorder="1"/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Distribuição RF vs RNF (Node.js/Electron)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'Resumo Executivo'!$C$15:$D$15</c:f>
              <c:strCache>
                <c:ptCount val="2"/>
                <c:pt idx="0">
                  <c:v>Qtd RF</c:v>
                </c:pt>
                <c:pt idx="1">
                  <c:v>Qtd RNF</c:v>
                </c:pt>
              </c:strCache>
            </c:strRef>
          </c:cat>
          <c:val>
            <c:numRef>
              <c:f>'Resumo Executivo'!$C$24:$D$24</c:f>
              <c:numCache>
                <c:formatCode>General</c:formatCode>
                <c:ptCount val="2"/>
                <c:pt idx="0">
                  <c:v>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0-4550-BC22-60DBCB7D8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7"/>
  <sheetViews>
    <sheetView tabSelected="1" workbookViewId="0">
      <selection activeCell="B3" sqref="B3:G3"/>
    </sheetView>
  </sheetViews>
  <sheetFormatPr defaultRowHeight="15"/>
  <cols>
    <col min="2" max="2" width="39.5703125" bestFit="1" customWidth="1"/>
    <col min="3" max="6" width="16" customWidth="1"/>
    <col min="7" max="8" width="24" customWidth="1"/>
  </cols>
  <sheetData>
    <row r="2" spans="2:8" ht="26.25">
      <c r="B2" s="28" t="s">
        <v>0</v>
      </c>
      <c r="C2" s="29"/>
      <c r="D2" s="29"/>
      <c r="E2" s="29"/>
      <c r="F2" s="29"/>
      <c r="G2" s="30"/>
    </row>
    <row r="3" spans="2:8" ht="20.25">
      <c r="B3" s="31" t="s">
        <v>1</v>
      </c>
      <c r="C3" s="61"/>
      <c r="D3" s="61"/>
      <c r="E3" s="61"/>
      <c r="F3" s="61"/>
      <c r="G3" s="62"/>
    </row>
    <row r="4" spans="2:8" ht="20.25">
      <c r="B4" s="16"/>
      <c r="C4" s="16"/>
      <c r="D4" s="16"/>
      <c r="E4" s="16"/>
      <c r="F4" s="16"/>
      <c r="G4" s="16"/>
    </row>
    <row r="5" spans="2:8" ht="21.75" customHeight="1">
      <c r="B5" s="39" t="s">
        <v>2</v>
      </c>
      <c r="C5" s="40"/>
      <c r="D5" s="40"/>
      <c r="E5" s="40"/>
      <c r="F5" s="40"/>
      <c r="G5" s="40"/>
    </row>
    <row r="6" spans="2:8" ht="21.75" customHeight="1">
      <c r="B6" s="40"/>
      <c r="C6" s="40"/>
      <c r="D6" s="40"/>
      <c r="E6" s="40"/>
      <c r="F6" s="40"/>
      <c r="G6" s="40"/>
    </row>
    <row r="7" spans="2:8" ht="30" customHeight="1">
      <c r="B7" s="40"/>
      <c r="C7" s="40"/>
      <c r="D7" s="40"/>
      <c r="E7" s="40"/>
      <c r="F7" s="40"/>
      <c r="G7" s="40"/>
    </row>
    <row r="10" spans="2:8" ht="16.5">
      <c r="B10" s="56" t="s">
        <v>3</v>
      </c>
      <c r="C10" s="57"/>
      <c r="D10" s="58" t="s">
        <v>4</v>
      </c>
      <c r="E10" s="59"/>
      <c r="F10" s="59"/>
      <c r="G10" s="58" t="s">
        <v>5</v>
      </c>
      <c r="H10" s="60"/>
    </row>
    <row r="11" spans="2:8" ht="30.75">
      <c r="B11" s="17">
        <f>COUNTA(Requisitos!B6:B20)</f>
        <v>15</v>
      </c>
      <c r="C11" s="18"/>
      <c r="D11" s="19">
        <f>COUNTIF(Requisitos!C6:C20, "Funcional")</f>
        <v>9</v>
      </c>
      <c r="E11" s="20"/>
      <c r="F11" s="20"/>
      <c r="G11" s="19">
        <f>COUNTIF(Requisitos!C6:C20, "Não Funcional")</f>
        <v>6</v>
      </c>
      <c r="H11" s="21"/>
    </row>
    <row r="14" spans="2:8" ht="20.25">
      <c r="B14" s="22" t="s">
        <v>6</v>
      </c>
      <c r="C14" s="23"/>
      <c r="D14" s="23"/>
      <c r="E14" s="24"/>
    </row>
    <row r="15" spans="2:8" ht="17.25">
      <c r="B15" s="41" t="s">
        <v>7</v>
      </c>
      <c r="C15" s="42" t="s">
        <v>8</v>
      </c>
      <c r="D15" s="42" t="s">
        <v>9</v>
      </c>
      <c r="E15" s="43" t="s">
        <v>10</v>
      </c>
    </row>
    <row r="16" spans="2:8" ht="17.25">
      <c r="B16" s="44" t="s">
        <v>11</v>
      </c>
      <c r="C16" s="45">
        <f>COUNTIFS(Requisitos!$D$6:$D$20, "Gestão &amp; Acesso", Requisitos!$C$6:$C$20, "Funcional")</f>
        <v>2</v>
      </c>
      <c r="D16" s="45">
        <f>COUNTIFS(Requisitos!$D$6:$D$20, "Gestão &amp; Acesso", Requisitos!$C$6:$C$20, "Não Funcional")</f>
        <v>0</v>
      </c>
      <c r="E16" s="46">
        <f>SUM(C16:D16)</f>
        <v>2</v>
      </c>
    </row>
    <row r="17" spans="2:10" ht="17.25">
      <c r="B17" s="47" t="s">
        <v>12</v>
      </c>
      <c r="C17" s="48">
        <f>COUNTIFS(Requisitos!$D$6:$D$20, "Reservas &amp; Agendamento", Requisitos!$C$6:$C$20, "Funcional")</f>
        <v>2</v>
      </c>
      <c r="D17" s="48">
        <f>COUNTIFS(Requisitos!$D$6:$D$20, "Reservas &amp; Agendamento", Requisitos!$C$6:$C$20, "Não Funcional")</f>
        <v>1</v>
      </c>
      <c r="E17" s="49">
        <f>SUM(C17:D17)</f>
        <v>3</v>
      </c>
    </row>
    <row r="18" spans="2:10" ht="17.25">
      <c r="B18" s="44" t="s">
        <v>13</v>
      </c>
      <c r="C18" s="45">
        <f>COUNTIFS(Requisitos!$D$6:$D$20, "Almoxarifado &amp; Estoque", Requisitos!$C$6:$C$20, "Funcional")</f>
        <v>1</v>
      </c>
      <c r="D18" s="45">
        <f>COUNTIFS(Requisitos!$D$6:$D$20, "Almoxarifado &amp; Estoque", Requisitos!$C$6:$C$20, "Não Funcional")</f>
        <v>0</v>
      </c>
      <c r="E18" s="46">
        <f>SUM(C18:D18)</f>
        <v>1</v>
      </c>
    </row>
    <row r="19" spans="2:10" ht="17.25">
      <c r="B19" s="47" t="s">
        <v>14</v>
      </c>
      <c r="C19" s="48">
        <f>COUNTIFS(Requisitos!$D$6:$D$20, "Manutenção &amp; Equipamentos", Requisitos!$C$6:$C$20, "Funcional")</f>
        <v>2</v>
      </c>
      <c r="D19" s="48">
        <f>COUNTIFS(Requisitos!$D$6:$D$20, "Manutenção &amp; Equipamentos", Requisitos!$C$6:$C$20, "Não Funcional")</f>
        <v>0</v>
      </c>
      <c r="E19" s="49">
        <f>SUM(C19:D19)</f>
        <v>2</v>
      </c>
    </row>
    <row r="20" spans="2:10" ht="17.25">
      <c r="B20" s="44" t="s">
        <v>15</v>
      </c>
      <c r="C20" s="45">
        <f>COUNTIFS(Requisitos!$D$6:$D$20, "Relatórios &amp; Notificações", Requisitos!$C$6:$C$20, "Funcional")</f>
        <v>2</v>
      </c>
      <c r="D20" s="45">
        <f>COUNTIFS(Requisitos!$D$6:$D$20, "Relatórios &amp; Notificações", Requisitos!$C$6:$C$20, "Não Funcional")</f>
        <v>0</v>
      </c>
      <c r="E20" s="46">
        <f>SUM(C20:D20)</f>
        <v>2</v>
      </c>
    </row>
    <row r="21" spans="2:10" ht="17.25">
      <c r="B21" s="47" t="s">
        <v>16</v>
      </c>
      <c r="C21" s="48">
        <f>COUNTIFS(Requisitos!$D$6:$D$20, "Segurança &amp; Desempenho", Requisitos!$C$6:$C$20, "Funcional")</f>
        <v>0</v>
      </c>
      <c r="D21" s="48">
        <f>COUNTIFS(Requisitos!$D$6:$D$20, "Segurança &amp; Desempenho", Requisitos!$C$6:$C$20, "Não Funcional")</f>
        <v>2</v>
      </c>
      <c r="E21" s="49">
        <f>SUM(C21:D21)</f>
        <v>2</v>
      </c>
    </row>
    <row r="22" spans="2:10" ht="17.25">
      <c r="B22" s="44" t="s">
        <v>17</v>
      </c>
      <c r="C22" s="45">
        <f>COUNTIFS(Requisitos!$D$6:$D$20, "Usabilidade &amp; Arquitetura", Requisitos!$C$6:$C$20, "Funcional")</f>
        <v>0</v>
      </c>
      <c r="D22" s="45">
        <f>COUNTIFS(Requisitos!$D$6:$D$20, "Usabilidade &amp; Arquitetura", Requisitos!$C$6:$C$20, "Não Funcional")</f>
        <v>2</v>
      </c>
      <c r="E22" s="46">
        <f>SUM(C22:D22)</f>
        <v>2</v>
      </c>
    </row>
    <row r="23" spans="2:10" ht="17.25">
      <c r="B23" s="50" t="s">
        <v>18</v>
      </c>
      <c r="C23" s="51">
        <f>COUNTIFS(Requisitos!$D$6:$D$20, "Distribuição &amp; Empacotamento", Requisitos!$C$6:$C$20, "Funcional")</f>
        <v>0</v>
      </c>
      <c r="D23" s="51">
        <f>COUNTIFS(Requisitos!$D$6:$D$20, "Distribuição &amp; Empacotamento", Requisitos!$C$6:$C$20, "Não Funcional")</f>
        <v>1</v>
      </c>
      <c r="E23" s="52">
        <f>SUM(C23:D23)</f>
        <v>1</v>
      </c>
    </row>
    <row r="24" spans="2:10" ht="17.25">
      <c r="B24" s="53" t="s">
        <v>19</v>
      </c>
      <c r="C24" s="54">
        <f>SUM(C16:C23)</f>
        <v>9</v>
      </c>
      <c r="D24" s="54">
        <f>SUM(D16:D23)</f>
        <v>6</v>
      </c>
      <c r="E24" s="55">
        <f>SUM(E16:E23)</f>
        <v>15</v>
      </c>
    </row>
    <row r="26" spans="2:10" ht="15" customHeight="1">
      <c r="B26" s="14"/>
      <c r="C26" s="15"/>
      <c r="D26" s="15"/>
      <c r="E26" s="15"/>
      <c r="F26" s="15"/>
      <c r="G26" s="15"/>
      <c r="H26" s="15"/>
      <c r="I26" s="15"/>
      <c r="J26" s="15"/>
    </row>
    <row r="27" spans="2:10" ht="15" customHeight="1"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10">
    <mergeCell ref="B14:E14"/>
    <mergeCell ref="B3:G3"/>
    <mergeCell ref="G10:H10"/>
    <mergeCell ref="D10:F10"/>
    <mergeCell ref="B10:C10"/>
    <mergeCell ref="B5:G7"/>
    <mergeCell ref="B11:C11"/>
    <mergeCell ref="D11:F11"/>
    <mergeCell ref="G11:H11"/>
    <mergeCell ref="B2:G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0"/>
  <sheetViews>
    <sheetView workbookViewId="0">
      <pane ySplit="5" topLeftCell="A17" activePane="bottomLeft" state="frozen"/>
      <selection pane="bottomLeft" activeCell="D6" sqref="D6"/>
    </sheetView>
  </sheetViews>
  <sheetFormatPr defaultRowHeight="15"/>
  <cols>
    <col min="2" max="2" width="11.28515625" bestFit="1" customWidth="1"/>
    <col min="3" max="3" width="15.85546875" bestFit="1" customWidth="1"/>
    <col min="4" max="4" width="31.28515625" bestFit="1" customWidth="1"/>
    <col min="5" max="5" width="30.28515625" bestFit="1" customWidth="1"/>
    <col min="6" max="6" width="67.5703125" bestFit="1" customWidth="1"/>
    <col min="7" max="7" width="14.5703125" bestFit="1" customWidth="1"/>
    <col min="8" max="8" width="24" customWidth="1"/>
    <col min="9" max="9" width="20.42578125" bestFit="1" customWidth="1"/>
  </cols>
  <sheetData>
    <row r="2" spans="2:9" ht="26.25">
      <c r="B2" s="28" t="s">
        <v>20</v>
      </c>
      <c r="C2" s="29"/>
      <c r="D2" s="29"/>
      <c r="E2" s="29"/>
      <c r="F2" s="30"/>
    </row>
    <row r="3" spans="2:9" ht="20.25">
      <c r="B3" s="31" t="s">
        <v>21</v>
      </c>
      <c r="C3" s="32"/>
      <c r="D3" s="32"/>
      <c r="E3" s="32"/>
      <c r="F3" s="33"/>
    </row>
    <row r="5" spans="2:9" ht="27.95" customHeight="1">
      <c r="B5" s="13" t="s">
        <v>22</v>
      </c>
      <c r="C5" s="13" t="s">
        <v>23</v>
      </c>
      <c r="D5" s="13" t="s">
        <v>7</v>
      </c>
      <c r="E5" s="13" t="s">
        <v>24</v>
      </c>
      <c r="F5" s="13" t="s">
        <v>25</v>
      </c>
      <c r="G5" s="13" t="s">
        <v>26</v>
      </c>
      <c r="H5" s="13" t="s">
        <v>27</v>
      </c>
      <c r="I5" s="13" t="s">
        <v>28</v>
      </c>
    </row>
    <row r="6" spans="2:9" ht="39.75" customHeight="1">
      <c r="B6" s="3" t="s">
        <v>29</v>
      </c>
      <c r="C6" s="9" t="s">
        <v>30</v>
      </c>
      <c r="D6" s="3" t="s">
        <v>11</v>
      </c>
      <c r="E6" s="2" t="s">
        <v>31</v>
      </c>
      <c r="F6" s="10" t="s">
        <v>32</v>
      </c>
      <c r="G6" s="2" t="s">
        <v>33</v>
      </c>
      <c r="H6" s="3" t="s">
        <v>34</v>
      </c>
      <c r="I6" s="3" t="s">
        <v>35</v>
      </c>
    </row>
    <row r="7" spans="2:9" ht="43.5" customHeight="1">
      <c r="B7" s="5" t="s">
        <v>36</v>
      </c>
      <c r="C7" s="9" t="s">
        <v>30</v>
      </c>
      <c r="D7" s="5" t="s">
        <v>11</v>
      </c>
      <c r="E7" s="4" t="s">
        <v>37</v>
      </c>
      <c r="F7" s="11" t="s">
        <v>38</v>
      </c>
      <c r="G7" s="4" t="s">
        <v>33</v>
      </c>
      <c r="H7" s="5" t="s">
        <v>39</v>
      </c>
      <c r="I7" s="5" t="s">
        <v>35</v>
      </c>
    </row>
    <row r="8" spans="2:9" ht="50.25" customHeight="1">
      <c r="B8" s="3" t="s">
        <v>40</v>
      </c>
      <c r="C8" s="9" t="s">
        <v>30</v>
      </c>
      <c r="D8" s="3" t="s">
        <v>12</v>
      </c>
      <c r="E8" s="2" t="s">
        <v>41</v>
      </c>
      <c r="F8" s="10" t="s">
        <v>42</v>
      </c>
      <c r="G8" s="2" t="s">
        <v>43</v>
      </c>
      <c r="H8" s="3" t="s">
        <v>39</v>
      </c>
      <c r="I8" s="3" t="s">
        <v>35</v>
      </c>
    </row>
    <row r="9" spans="2:9" ht="41.25" customHeight="1">
      <c r="B9" s="5" t="s">
        <v>44</v>
      </c>
      <c r="C9" s="9" t="s">
        <v>30</v>
      </c>
      <c r="D9" s="5" t="s">
        <v>12</v>
      </c>
      <c r="E9" s="4" t="s">
        <v>45</v>
      </c>
      <c r="F9" s="11" t="s">
        <v>46</v>
      </c>
      <c r="G9" s="4" t="s">
        <v>33</v>
      </c>
      <c r="H9" s="5" t="s">
        <v>39</v>
      </c>
      <c r="I9" s="5" t="s">
        <v>35</v>
      </c>
    </row>
    <row r="10" spans="2:9" ht="42" customHeight="1">
      <c r="B10" s="3" t="s">
        <v>47</v>
      </c>
      <c r="C10" s="9" t="s">
        <v>30</v>
      </c>
      <c r="D10" s="3" t="s">
        <v>13</v>
      </c>
      <c r="E10" s="2" t="s">
        <v>48</v>
      </c>
      <c r="F10" s="10" t="s">
        <v>49</v>
      </c>
      <c r="G10" s="2" t="s">
        <v>50</v>
      </c>
      <c r="H10" s="3" t="s">
        <v>51</v>
      </c>
      <c r="I10" s="3" t="s">
        <v>52</v>
      </c>
    </row>
    <row r="11" spans="2:9" ht="42" customHeight="1">
      <c r="B11" s="5" t="s">
        <v>53</v>
      </c>
      <c r="C11" s="9" t="s">
        <v>30</v>
      </c>
      <c r="D11" s="5" t="s">
        <v>14</v>
      </c>
      <c r="E11" s="4" t="s">
        <v>54</v>
      </c>
      <c r="F11" s="11" t="s">
        <v>55</v>
      </c>
      <c r="G11" s="4" t="s">
        <v>50</v>
      </c>
      <c r="H11" s="5" t="s">
        <v>51</v>
      </c>
      <c r="I11" s="5" t="s">
        <v>52</v>
      </c>
    </row>
    <row r="12" spans="2:9" ht="40.5" customHeight="1">
      <c r="B12" s="3" t="s">
        <v>56</v>
      </c>
      <c r="C12" s="9" t="s">
        <v>30</v>
      </c>
      <c r="D12" s="3" t="s">
        <v>14</v>
      </c>
      <c r="E12" s="2" t="s">
        <v>57</v>
      </c>
      <c r="F12" s="10" t="s">
        <v>58</v>
      </c>
      <c r="G12" s="2" t="s">
        <v>50</v>
      </c>
      <c r="H12" s="3" t="s">
        <v>51</v>
      </c>
      <c r="I12" s="3" t="s">
        <v>52</v>
      </c>
    </row>
    <row r="13" spans="2:9" ht="45" customHeight="1">
      <c r="B13" s="5" t="s">
        <v>59</v>
      </c>
      <c r="C13" s="9" t="s">
        <v>30</v>
      </c>
      <c r="D13" s="5" t="s">
        <v>15</v>
      </c>
      <c r="E13" s="4" t="s">
        <v>60</v>
      </c>
      <c r="F13" s="11" t="s">
        <v>61</v>
      </c>
      <c r="G13" s="4" t="s">
        <v>50</v>
      </c>
      <c r="H13" s="5" t="s">
        <v>51</v>
      </c>
      <c r="I13" s="5" t="s">
        <v>52</v>
      </c>
    </row>
    <row r="14" spans="2:9" ht="39" customHeight="1">
      <c r="B14" s="3" t="s">
        <v>62</v>
      </c>
      <c r="C14" s="9" t="s">
        <v>30</v>
      </c>
      <c r="D14" s="3" t="s">
        <v>15</v>
      </c>
      <c r="E14" s="2" t="s">
        <v>63</v>
      </c>
      <c r="F14" s="10" t="s">
        <v>64</v>
      </c>
      <c r="G14" s="2" t="s">
        <v>33</v>
      </c>
      <c r="H14" s="3" t="s">
        <v>65</v>
      </c>
      <c r="I14" s="3" t="s">
        <v>35</v>
      </c>
    </row>
    <row r="15" spans="2:9" ht="49.5">
      <c r="B15" s="5" t="s">
        <v>66</v>
      </c>
      <c r="C15" s="12" t="s">
        <v>67</v>
      </c>
      <c r="D15" s="5" t="s">
        <v>16</v>
      </c>
      <c r="E15" s="4" t="s">
        <v>68</v>
      </c>
      <c r="F15" s="11" t="s">
        <v>69</v>
      </c>
      <c r="G15" s="4" t="s">
        <v>43</v>
      </c>
      <c r="H15" s="5" t="s">
        <v>70</v>
      </c>
      <c r="I15" s="5" t="s">
        <v>71</v>
      </c>
    </row>
    <row r="16" spans="2:9" ht="33">
      <c r="B16" s="3" t="s">
        <v>72</v>
      </c>
      <c r="C16" s="12" t="s">
        <v>67</v>
      </c>
      <c r="D16" s="3" t="s">
        <v>17</v>
      </c>
      <c r="E16" s="2" t="s">
        <v>73</v>
      </c>
      <c r="F16" s="10" t="s">
        <v>74</v>
      </c>
      <c r="G16" s="2" t="s">
        <v>33</v>
      </c>
      <c r="H16" s="3" t="s">
        <v>75</v>
      </c>
      <c r="I16" s="3" t="s">
        <v>71</v>
      </c>
    </row>
    <row r="17" spans="2:9" ht="38.1" customHeight="1">
      <c r="B17" s="5" t="s">
        <v>76</v>
      </c>
      <c r="C17" s="12" t="s">
        <v>67</v>
      </c>
      <c r="D17" s="5" t="s">
        <v>12</v>
      </c>
      <c r="E17" s="4" t="s">
        <v>77</v>
      </c>
      <c r="F17" s="11" t="s">
        <v>78</v>
      </c>
      <c r="G17" s="4" t="s">
        <v>43</v>
      </c>
      <c r="H17" s="5" t="s">
        <v>79</v>
      </c>
      <c r="I17" s="5" t="s">
        <v>71</v>
      </c>
    </row>
    <row r="18" spans="2:9" ht="39.75" customHeight="1">
      <c r="B18" s="3" t="s">
        <v>80</v>
      </c>
      <c r="C18" s="12" t="s">
        <v>67</v>
      </c>
      <c r="D18" s="3" t="s">
        <v>17</v>
      </c>
      <c r="E18" s="2" t="s">
        <v>81</v>
      </c>
      <c r="F18" s="10" t="s">
        <v>82</v>
      </c>
      <c r="G18" s="2" t="s">
        <v>43</v>
      </c>
      <c r="H18" s="3" t="s">
        <v>83</v>
      </c>
      <c r="I18" s="3" t="s">
        <v>84</v>
      </c>
    </row>
    <row r="19" spans="2:9" ht="42" customHeight="1">
      <c r="B19" s="5" t="s">
        <v>85</v>
      </c>
      <c r="C19" s="12" t="s">
        <v>67</v>
      </c>
      <c r="D19" s="5" t="s">
        <v>16</v>
      </c>
      <c r="E19" s="4" t="s">
        <v>86</v>
      </c>
      <c r="F19" s="11" t="s">
        <v>87</v>
      </c>
      <c r="G19" s="4" t="s">
        <v>33</v>
      </c>
      <c r="H19" s="5" t="s">
        <v>88</v>
      </c>
      <c r="I19" s="5" t="s">
        <v>71</v>
      </c>
    </row>
    <row r="20" spans="2:9" ht="41.25" customHeight="1">
      <c r="B20" s="3" t="s">
        <v>89</v>
      </c>
      <c r="C20" s="12" t="s">
        <v>67</v>
      </c>
      <c r="D20" s="3" t="s">
        <v>18</v>
      </c>
      <c r="E20" s="2" t="s">
        <v>90</v>
      </c>
      <c r="F20" s="10" t="s">
        <v>91</v>
      </c>
      <c r="G20" s="2" t="s">
        <v>33</v>
      </c>
      <c r="H20" s="3" t="s">
        <v>92</v>
      </c>
      <c r="I20" s="3" t="s">
        <v>35</v>
      </c>
    </row>
  </sheetData>
  <autoFilter ref="B5:I20" xr:uid="{00000000-0009-0000-0000-000001000000}"/>
  <mergeCells count="2">
    <mergeCell ref="B2:F2"/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4"/>
  <sheetViews>
    <sheetView workbookViewId="0">
      <pane ySplit="5" topLeftCell="A6" activePane="bottomLeft" state="frozen"/>
      <selection pane="bottomLeft" activeCell="B7" sqref="B7"/>
    </sheetView>
  </sheetViews>
  <sheetFormatPr defaultRowHeight="15"/>
  <cols>
    <col min="2" max="2" width="31.42578125" bestFit="1" customWidth="1"/>
    <col min="3" max="3" width="29.5703125" bestFit="1" customWidth="1"/>
    <col min="4" max="4" width="47.7109375" bestFit="1" customWidth="1"/>
    <col min="5" max="5" width="81.28515625" bestFit="1" customWidth="1"/>
  </cols>
  <sheetData>
    <row r="2" spans="2:5" ht="26.25">
      <c r="B2" s="34" t="s">
        <v>93</v>
      </c>
      <c r="C2" s="34"/>
      <c r="D2" s="34"/>
      <c r="E2" s="34"/>
    </row>
    <row r="3" spans="2:5" ht="20.25">
      <c r="B3" s="35" t="s">
        <v>94</v>
      </c>
      <c r="C3" s="35"/>
      <c r="D3" s="35"/>
      <c r="E3" s="35"/>
    </row>
    <row r="5" spans="2:5" ht="48" customHeight="1">
      <c r="B5" s="8" t="s">
        <v>95</v>
      </c>
      <c r="C5" s="8" t="s">
        <v>96</v>
      </c>
      <c r="D5" s="8" t="s">
        <v>97</v>
      </c>
      <c r="E5" s="8" t="s">
        <v>98</v>
      </c>
    </row>
    <row r="6" spans="2:5" ht="29.25" customHeight="1">
      <c r="B6" s="2" t="s">
        <v>99</v>
      </c>
      <c r="C6" s="2" t="s">
        <v>100</v>
      </c>
      <c r="D6" s="2" t="s">
        <v>101</v>
      </c>
      <c r="E6" s="6" t="s">
        <v>102</v>
      </c>
    </row>
    <row r="7" spans="2:5" ht="30.75" customHeight="1">
      <c r="B7" s="4" t="s">
        <v>103</v>
      </c>
      <c r="C7" s="4" t="s">
        <v>104</v>
      </c>
      <c r="D7" s="4" t="s">
        <v>105</v>
      </c>
      <c r="E7" s="7" t="s">
        <v>106</v>
      </c>
    </row>
    <row r="8" spans="2:5" ht="28.5" customHeight="1">
      <c r="B8" s="2" t="s">
        <v>107</v>
      </c>
      <c r="C8" s="2" t="s">
        <v>108</v>
      </c>
      <c r="D8" s="2" t="s">
        <v>109</v>
      </c>
      <c r="E8" s="6" t="s">
        <v>110</v>
      </c>
    </row>
    <row r="9" spans="2:5" ht="30.75" customHeight="1">
      <c r="B9" s="4" t="s">
        <v>111</v>
      </c>
      <c r="C9" s="4" t="s">
        <v>112</v>
      </c>
      <c r="D9" s="4" t="s">
        <v>113</v>
      </c>
      <c r="E9" s="7" t="s">
        <v>114</v>
      </c>
    </row>
    <row r="10" spans="2:5" ht="31.5" customHeight="1">
      <c r="B10" s="2" t="s">
        <v>115</v>
      </c>
      <c r="C10" s="2" t="s">
        <v>116</v>
      </c>
      <c r="D10" s="2" t="s">
        <v>117</v>
      </c>
      <c r="E10" s="6" t="s">
        <v>118</v>
      </c>
    </row>
    <row r="11" spans="2:5" ht="34.5" customHeight="1">
      <c r="B11" s="4" t="s">
        <v>119</v>
      </c>
      <c r="C11" s="4" t="s">
        <v>120</v>
      </c>
      <c r="D11" s="4" t="s">
        <v>121</v>
      </c>
      <c r="E11" s="7" t="s">
        <v>122</v>
      </c>
    </row>
    <row r="12" spans="2:5" ht="31.5" customHeight="1">
      <c r="B12" s="2" t="s">
        <v>123</v>
      </c>
      <c r="C12" s="2" t="s">
        <v>124</v>
      </c>
      <c r="D12" s="2" t="s">
        <v>125</v>
      </c>
      <c r="E12" s="6" t="s">
        <v>126</v>
      </c>
    </row>
    <row r="13" spans="2:5" ht="28.5" customHeight="1">
      <c r="B13" s="4" t="s">
        <v>127</v>
      </c>
      <c r="C13" s="4" t="s">
        <v>128</v>
      </c>
      <c r="D13" s="4" t="s">
        <v>129</v>
      </c>
      <c r="E13" s="7" t="s">
        <v>130</v>
      </c>
    </row>
    <row r="14" spans="2:5" ht="32.25" customHeight="1">
      <c r="B14" s="2" t="s">
        <v>131</v>
      </c>
      <c r="C14" s="2" t="s">
        <v>132</v>
      </c>
      <c r="D14" s="2" t="s">
        <v>133</v>
      </c>
      <c r="E14" s="6" t="s">
        <v>134</v>
      </c>
    </row>
  </sheetData>
  <autoFilter ref="B5:E14" xr:uid="{00000000-0009-0000-0000-000002000000}"/>
  <mergeCells count="2">
    <mergeCell ref="B2:E2"/>
    <mergeCell ref="B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36"/>
  <sheetViews>
    <sheetView workbookViewId="0">
      <pane ySplit="5" topLeftCell="A29" activePane="bottomLeft" state="frozen"/>
      <selection pane="bottomLeft" activeCell="C36" sqref="C36"/>
    </sheetView>
  </sheetViews>
  <sheetFormatPr defaultRowHeight="15"/>
  <cols>
    <col min="2" max="2" width="27.85546875" bestFit="1" customWidth="1"/>
    <col min="3" max="3" width="22.140625" bestFit="1" customWidth="1"/>
    <col min="4" max="4" width="87.7109375" bestFit="1" customWidth="1"/>
    <col min="5" max="5" width="35.7109375" bestFit="1" customWidth="1"/>
    <col min="6" max="6" width="29.7109375" bestFit="1" customWidth="1"/>
  </cols>
  <sheetData>
    <row r="2" spans="2:6" ht="26.25">
      <c r="B2" s="36" t="s">
        <v>135</v>
      </c>
      <c r="C2" s="37"/>
      <c r="D2" s="37"/>
      <c r="E2" s="38"/>
    </row>
    <row r="3" spans="2:6" ht="20.25">
      <c r="B3" s="25" t="s">
        <v>136</v>
      </c>
      <c r="C3" s="26"/>
      <c r="D3" s="26"/>
      <c r="E3" s="27"/>
    </row>
    <row r="5" spans="2:6" ht="17.25"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</row>
    <row r="6" spans="2:6" ht="21.95" customHeight="1">
      <c r="B6" s="2" t="s">
        <v>142</v>
      </c>
      <c r="C6" s="2" t="s">
        <v>143</v>
      </c>
      <c r="D6" s="3" t="s">
        <v>144</v>
      </c>
      <c r="E6" s="3" t="s">
        <v>145</v>
      </c>
      <c r="F6" s="3" t="s">
        <v>146</v>
      </c>
    </row>
    <row r="7" spans="2:6" ht="21.95" customHeight="1">
      <c r="B7" s="4" t="s">
        <v>142</v>
      </c>
      <c r="C7" s="4" t="s">
        <v>147</v>
      </c>
      <c r="D7" s="5" t="s">
        <v>148</v>
      </c>
      <c r="E7" s="5" t="s">
        <v>149</v>
      </c>
      <c r="F7" s="5" t="s">
        <v>150</v>
      </c>
    </row>
    <row r="8" spans="2:6" ht="21.95" customHeight="1">
      <c r="B8" s="2" t="s">
        <v>142</v>
      </c>
      <c r="C8" s="2" t="s">
        <v>151</v>
      </c>
      <c r="D8" s="3" t="s">
        <v>152</v>
      </c>
      <c r="E8" s="3" t="s">
        <v>153</v>
      </c>
      <c r="F8" s="3" t="s">
        <v>154</v>
      </c>
    </row>
    <row r="9" spans="2:6" ht="21.95" customHeight="1">
      <c r="B9" s="4" t="s">
        <v>142</v>
      </c>
      <c r="C9" s="4" t="s">
        <v>155</v>
      </c>
      <c r="D9" s="5" t="s">
        <v>152</v>
      </c>
      <c r="E9" s="5" t="s">
        <v>156</v>
      </c>
      <c r="F9" s="5" t="s">
        <v>154</v>
      </c>
    </row>
    <row r="10" spans="2:6" ht="21.95" customHeight="1">
      <c r="B10" s="2" t="s">
        <v>142</v>
      </c>
      <c r="C10" s="2" t="s">
        <v>157</v>
      </c>
      <c r="D10" s="3" t="s">
        <v>148</v>
      </c>
      <c r="E10" s="3" t="s">
        <v>158</v>
      </c>
      <c r="F10" s="3" t="s">
        <v>150</v>
      </c>
    </row>
    <row r="11" spans="2:6" ht="21.95" customHeight="1">
      <c r="B11" s="4" t="s">
        <v>142</v>
      </c>
      <c r="C11" s="4" t="s">
        <v>159</v>
      </c>
      <c r="D11" s="5" t="s">
        <v>160</v>
      </c>
      <c r="E11" s="5" t="s">
        <v>161</v>
      </c>
      <c r="F11" s="5" t="s">
        <v>150</v>
      </c>
    </row>
    <row r="12" spans="2:6" ht="21.95" customHeight="1">
      <c r="B12" s="2" t="s">
        <v>104</v>
      </c>
      <c r="C12" s="2" t="s">
        <v>143</v>
      </c>
      <c r="D12" s="3" t="s">
        <v>144</v>
      </c>
      <c r="E12" s="3" t="s">
        <v>162</v>
      </c>
      <c r="F12" s="3" t="s">
        <v>146</v>
      </c>
    </row>
    <row r="13" spans="2:6" ht="21.95" customHeight="1">
      <c r="B13" s="4" t="s">
        <v>104</v>
      </c>
      <c r="C13" s="4" t="s">
        <v>147</v>
      </c>
      <c r="D13" s="5" t="s">
        <v>148</v>
      </c>
      <c r="E13" s="5" t="s">
        <v>163</v>
      </c>
      <c r="F13" s="5" t="s">
        <v>150</v>
      </c>
    </row>
    <row r="14" spans="2:6" ht="21.95" customHeight="1">
      <c r="B14" s="2" t="s">
        <v>104</v>
      </c>
      <c r="C14" s="2" t="s">
        <v>164</v>
      </c>
      <c r="D14" s="3" t="s">
        <v>165</v>
      </c>
      <c r="E14" s="3" t="s">
        <v>166</v>
      </c>
      <c r="F14" s="3" t="s">
        <v>167</v>
      </c>
    </row>
    <row r="15" spans="2:6" ht="21.95" customHeight="1">
      <c r="B15" s="4" t="s">
        <v>104</v>
      </c>
      <c r="C15" s="4" t="s">
        <v>168</v>
      </c>
      <c r="D15" s="5" t="s">
        <v>169</v>
      </c>
      <c r="E15" s="5" t="s">
        <v>170</v>
      </c>
      <c r="F15" s="5" t="s">
        <v>167</v>
      </c>
    </row>
    <row r="16" spans="2:6" ht="21.95" customHeight="1">
      <c r="B16" s="2" t="s">
        <v>108</v>
      </c>
      <c r="C16" s="2" t="s">
        <v>171</v>
      </c>
      <c r="D16" s="3" t="s">
        <v>172</v>
      </c>
      <c r="E16" s="3" t="s">
        <v>162</v>
      </c>
      <c r="F16" s="3" t="s">
        <v>173</v>
      </c>
    </row>
    <row r="17" spans="2:6" ht="21.95" customHeight="1">
      <c r="B17" s="4" t="s">
        <v>108</v>
      </c>
      <c r="C17" s="4" t="s">
        <v>174</v>
      </c>
      <c r="D17" s="5" t="s">
        <v>172</v>
      </c>
      <c r="E17" s="5" t="s">
        <v>175</v>
      </c>
      <c r="F17" s="5" t="s">
        <v>176</v>
      </c>
    </row>
    <row r="18" spans="2:6" ht="21.95" customHeight="1">
      <c r="B18" s="2" t="s">
        <v>108</v>
      </c>
      <c r="C18" s="2" t="s">
        <v>177</v>
      </c>
      <c r="D18" s="3" t="s">
        <v>178</v>
      </c>
      <c r="E18" s="3" t="s">
        <v>179</v>
      </c>
      <c r="F18" s="3" t="s">
        <v>180</v>
      </c>
    </row>
    <row r="19" spans="2:6" ht="21.95" customHeight="1">
      <c r="B19" s="4" t="s">
        <v>112</v>
      </c>
      <c r="C19" s="4" t="s">
        <v>143</v>
      </c>
      <c r="D19" s="5" t="s">
        <v>144</v>
      </c>
      <c r="E19" s="5" t="s">
        <v>181</v>
      </c>
      <c r="F19" s="5" t="s">
        <v>146</v>
      </c>
    </row>
    <row r="20" spans="2:6" ht="21.95" customHeight="1">
      <c r="B20" s="2" t="s">
        <v>112</v>
      </c>
      <c r="C20" s="2" t="s">
        <v>171</v>
      </c>
      <c r="D20" s="3" t="s">
        <v>182</v>
      </c>
      <c r="E20" s="3" t="s">
        <v>183</v>
      </c>
      <c r="F20" s="3" t="s">
        <v>173</v>
      </c>
    </row>
    <row r="21" spans="2:6" ht="21.95" customHeight="1">
      <c r="B21" s="4" t="s">
        <v>112</v>
      </c>
      <c r="C21" s="4" t="s">
        <v>174</v>
      </c>
      <c r="D21" s="5" t="s">
        <v>182</v>
      </c>
      <c r="E21" s="5" t="s">
        <v>184</v>
      </c>
      <c r="F21" s="5" t="s">
        <v>176</v>
      </c>
    </row>
    <row r="22" spans="2:6" ht="21.95" customHeight="1">
      <c r="B22" s="2" t="s">
        <v>112</v>
      </c>
      <c r="C22" s="2" t="s">
        <v>185</v>
      </c>
      <c r="D22" s="3" t="s">
        <v>186</v>
      </c>
      <c r="E22" s="3" t="s">
        <v>187</v>
      </c>
      <c r="F22" s="3" t="s">
        <v>188</v>
      </c>
    </row>
    <row r="23" spans="2:6" ht="21.95" customHeight="1">
      <c r="B23" s="4" t="s">
        <v>112</v>
      </c>
      <c r="C23" s="4" t="s">
        <v>189</v>
      </c>
      <c r="D23" s="5" t="s">
        <v>186</v>
      </c>
      <c r="E23" s="5" t="s">
        <v>190</v>
      </c>
      <c r="F23" s="5" t="s">
        <v>188</v>
      </c>
    </row>
    <row r="24" spans="2:6" ht="21.95" customHeight="1">
      <c r="B24" s="2" t="s">
        <v>112</v>
      </c>
      <c r="C24" s="2" t="s">
        <v>168</v>
      </c>
      <c r="D24" s="3" t="s">
        <v>191</v>
      </c>
      <c r="E24" s="3" t="s">
        <v>192</v>
      </c>
      <c r="F24" s="3" t="s">
        <v>188</v>
      </c>
    </row>
    <row r="25" spans="2:6" ht="21.95" customHeight="1">
      <c r="B25" s="4" t="s">
        <v>193</v>
      </c>
      <c r="C25" s="4" t="s">
        <v>143</v>
      </c>
      <c r="D25" s="5" t="s">
        <v>144</v>
      </c>
      <c r="E25" s="5" t="s">
        <v>194</v>
      </c>
      <c r="F25" s="5" t="s">
        <v>146</v>
      </c>
    </row>
    <row r="26" spans="2:6" ht="21.95" customHeight="1">
      <c r="B26" s="2" t="s">
        <v>193</v>
      </c>
      <c r="C26" s="2" t="s">
        <v>171</v>
      </c>
      <c r="D26" s="3" t="s">
        <v>182</v>
      </c>
      <c r="E26" s="3" t="s">
        <v>195</v>
      </c>
      <c r="F26" s="3" t="s">
        <v>173</v>
      </c>
    </row>
    <row r="27" spans="2:6" ht="21.95" customHeight="1">
      <c r="B27" s="4" t="s">
        <v>193</v>
      </c>
      <c r="C27" s="4" t="s">
        <v>168</v>
      </c>
      <c r="D27" s="5" t="s">
        <v>196</v>
      </c>
      <c r="E27" s="5" t="s">
        <v>197</v>
      </c>
      <c r="F27" s="5" t="s">
        <v>150</v>
      </c>
    </row>
    <row r="28" spans="2:6" ht="21.95" customHeight="1">
      <c r="B28" s="2" t="s">
        <v>198</v>
      </c>
      <c r="C28" s="2" t="s">
        <v>143</v>
      </c>
      <c r="D28" s="3" t="s">
        <v>144</v>
      </c>
      <c r="E28" s="3" t="s">
        <v>199</v>
      </c>
      <c r="F28" s="3" t="s">
        <v>146</v>
      </c>
    </row>
    <row r="29" spans="2:6" ht="21.95" customHeight="1">
      <c r="B29" s="4" t="s">
        <v>198</v>
      </c>
      <c r="C29" s="4" t="s">
        <v>200</v>
      </c>
      <c r="D29" s="5" t="s">
        <v>201</v>
      </c>
      <c r="E29" s="5" t="s">
        <v>202</v>
      </c>
      <c r="F29" s="5" t="s">
        <v>150</v>
      </c>
    </row>
    <row r="30" spans="2:6" ht="21.95" customHeight="1">
      <c r="B30" s="2" t="s">
        <v>198</v>
      </c>
      <c r="C30" s="2" t="s">
        <v>203</v>
      </c>
      <c r="D30" s="3" t="s">
        <v>201</v>
      </c>
      <c r="E30" s="3" t="s">
        <v>204</v>
      </c>
      <c r="F30" s="3" t="s">
        <v>150</v>
      </c>
    </row>
    <row r="31" spans="2:6" ht="21.95" customHeight="1">
      <c r="B31" s="4" t="s">
        <v>205</v>
      </c>
      <c r="C31" s="4" t="s">
        <v>143</v>
      </c>
      <c r="D31" s="5" t="s">
        <v>144</v>
      </c>
      <c r="E31" s="5" t="s">
        <v>206</v>
      </c>
      <c r="F31" s="5" t="s">
        <v>146</v>
      </c>
    </row>
    <row r="32" spans="2:6" ht="21.95" customHeight="1">
      <c r="B32" s="2" t="s">
        <v>205</v>
      </c>
      <c r="C32" s="2" t="s">
        <v>207</v>
      </c>
      <c r="D32" s="3" t="s">
        <v>182</v>
      </c>
      <c r="E32" s="3" t="s">
        <v>208</v>
      </c>
      <c r="F32" s="3" t="s">
        <v>209</v>
      </c>
    </row>
    <row r="33" spans="2:6" ht="21.95" customHeight="1">
      <c r="B33" s="4" t="s">
        <v>205</v>
      </c>
      <c r="C33" s="4" t="s">
        <v>210</v>
      </c>
      <c r="D33" s="5" t="s">
        <v>211</v>
      </c>
      <c r="E33" s="5" t="s">
        <v>212</v>
      </c>
      <c r="F33" s="5" t="s">
        <v>150</v>
      </c>
    </row>
    <row r="34" spans="2:6" ht="21.95" customHeight="1">
      <c r="B34" s="2" t="s">
        <v>213</v>
      </c>
      <c r="C34" s="2" t="s">
        <v>143</v>
      </c>
      <c r="D34" s="3" t="s">
        <v>144</v>
      </c>
      <c r="E34" s="3" t="s">
        <v>214</v>
      </c>
      <c r="F34" s="3" t="s">
        <v>146</v>
      </c>
    </row>
    <row r="35" spans="2:6" ht="21.95" customHeight="1">
      <c r="B35" s="4" t="s">
        <v>213</v>
      </c>
      <c r="C35" s="4" t="s">
        <v>215</v>
      </c>
      <c r="D35" s="5" t="s">
        <v>216</v>
      </c>
      <c r="E35" s="5" t="s">
        <v>217</v>
      </c>
      <c r="F35" s="5" t="s">
        <v>150</v>
      </c>
    </row>
    <row r="36" spans="2:6" ht="21.95" customHeight="1">
      <c r="B36" s="2" t="s">
        <v>213</v>
      </c>
      <c r="C36" s="2" t="s">
        <v>218</v>
      </c>
      <c r="D36" s="3" t="s">
        <v>219</v>
      </c>
      <c r="E36" s="3" t="s">
        <v>220</v>
      </c>
      <c r="F36" s="3" t="s">
        <v>150</v>
      </c>
    </row>
  </sheetData>
  <autoFilter ref="B5:F36" xr:uid="{00000000-0009-0000-0000-000003000000}"/>
  <mergeCells count="2">
    <mergeCell ref="B2:E2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2026-08-18T03:32:18Z</dcterms:created>
  <dcterms:modified xsi:type="dcterms:W3CDTF">2026-08-18T05:00:43Z</dcterms:modified>
  <cp:category/>
  <cp:contentStatus/>
</cp:coreProperties>
</file>